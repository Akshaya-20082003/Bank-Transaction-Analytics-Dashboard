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78334c96d912a/Documents/Bank Transaction Analytics Dashboard/"/>
    </mc:Choice>
  </mc:AlternateContent>
  <xr:revisionPtr revIDLastSave="1164" documentId="8_{89D4251A-1CB6-4F42-8FDB-5A608C8A37FD}" xr6:coauthVersionLast="47" xr6:coauthVersionMax="47" xr10:uidLastSave="{808E95B7-549F-4F5A-B5A8-3B5B60C39493}"/>
  <bookViews>
    <workbookView xWindow="-108" yWindow="-108" windowWidth="23256" windowHeight="12456" xr2:uid="{486475AB-4A6C-478A-A961-95611D5E8F8A}"/>
  </bookViews>
  <sheets>
    <sheet name="Final_Dashboard" sheetId="1" r:id="rId1"/>
    <sheet name="Sheet2" sheetId="2" r:id="rId2"/>
    <sheet name="Transactions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chart.v1.0" hidden="1">[1]Chart_GenderWise!$A$3:$A$6</definedName>
    <definedName name="_xlchart.v1.1" hidden="1">[1]Chart_GenderWise!$B$1:$B$2</definedName>
    <definedName name="_xlchart.v1.2" hidden="1">[1]Chart_GenderWise!$B$3:$B$6</definedName>
    <definedName name="_xlnm.Print_Area" localSheetId="0">Final_Dashboard!$A$2:$AF$42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<sst xmlns="http://schemas.openxmlformats.org/spreadsheetml/2006/main" count="423" uniqueCount="71">
  <si>
    <t>A</t>
  </si>
  <si>
    <t>B</t>
  </si>
  <si>
    <t>Gender</t>
  </si>
  <si>
    <t>TotalSpent</t>
  </si>
  <si>
    <t>F</t>
  </si>
  <si>
    <t>M</t>
  </si>
  <si>
    <t>Payment Mode Share</t>
  </si>
  <si>
    <t>Mode</t>
  </si>
  <si>
    <t>Percentage</t>
  </si>
  <si>
    <t>UPI</t>
  </si>
  <si>
    <t>NetBanking</t>
  </si>
  <si>
    <t>POS</t>
  </si>
  <si>
    <t>Category-Wise Total Spend</t>
  </si>
  <si>
    <t>Category</t>
  </si>
  <si>
    <t>Shopping</t>
  </si>
  <si>
    <t>Food</t>
  </si>
  <si>
    <t>Travel</t>
  </si>
  <si>
    <t>Age Group-wise Total Spending</t>
  </si>
  <si>
    <t>AgeGroup</t>
  </si>
  <si>
    <t>26–35</t>
  </si>
  <si>
    <t>36+</t>
  </si>
  <si>
    <t>18–25</t>
  </si>
  <si>
    <t xml:space="preserve">Merchant- wise Spend </t>
  </si>
  <si>
    <t>MerchantName</t>
  </si>
  <si>
    <t>Total</t>
  </si>
  <si>
    <t>Amazon</t>
  </si>
  <si>
    <t>Flipkart</t>
  </si>
  <si>
    <t>Big Bazaar</t>
  </si>
  <si>
    <t>Myntra</t>
  </si>
  <si>
    <t>Reliance Mart</t>
  </si>
  <si>
    <t>City</t>
  </si>
  <si>
    <t>TxnCount</t>
  </si>
  <si>
    <t>Mumbai</t>
  </si>
  <si>
    <t>Delhi</t>
  </si>
  <si>
    <t>Bangalore</t>
  </si>
  <si>
    <t>Chennai</t>
  </si>
  <si>
    <t>Pune</t>
  </si>
  <si>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     Day-wise Total Spend</t>
    </r>
  </si>
  <si>
    <t>DayName</t>
  </si>
  <si>
    <t>Total Spend</t>
  </si>
  <si>
    <t>Monday</t>
  </si>
  <si>
    <t>Tuesday</t>
  </si>
  <si>
    <t>Wednesday</t>
  </si>
  <si>
    <t>Thursday</t>
  </si>
  <si>
    <t>Friday</t>
  </si>
  <si>
    <t>Saturday</t>
  </si>
  <si>
    <t>Sunday</t>
  </si>
  <si>
    <t>Spend Category Distribution</t>
  </si>
  <si>
    <t>SpendCategory</t>
  </si>
  <si>
    <t>CustomersCount</t>
  </si>
  <si>
    <t>High</t>
  </si>
  <si>
    <t>Medium</t>
  </si>
  <si>
    <t>Low</t>
  </si>
  <si>
    <t>Bank Transaction Analysis Dashboard</t>
  </si>
  <si>
    <t>TransactionID</t>
  </si>
  <si>
    <t>PaymentMode</t>
  </si>
  <si>
    <t>Merchant</t>
  </si>
  <si>
    <t>Day</t>
  </si>
  <si>
    <t>SpendAmount</t>
  </si>
  <si>
    <t>26-35</t>
  </si>
  <si>
    <t>18-25</t>
  </si>
  <si>
    <t>26-36</t>
  </si>
  <si>
    <t>18-26</t>
  </si>
  <si>
    <t>26-37</t>
  </si>
  <si>
    <t>18-27</t>
  </si>
  <si>
    <t>26-38</t>
  </si>
  <si>
    <t>18-28</t>
  </si>
  <si>
    <t>26-39</t>
  </si>
  <si>
    <t>18-29</t>
  </si>
  <si>
    <t>26-40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</si>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</sst>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36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Gender-wise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[1]Chart_GenderWise!$B$1:$B$2</c:f>
              <c:strCache>
                <c:ptCount val="1"/>
                <c:pt idx="0">
                  <c:v>B TotalSpent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0E-45B5-A5C6-02816AC86F3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0E-45B5-A5C6-02816AC86F3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0E-45B5-A5C6-02816AC86F3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0E-45B5-A5C6-02816AC86F3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[1]Chart_GenderWise!$A$3:$A$6</c:f>
              <c:strCache>
                <c:ptCount val="4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[1]Chart_GenderWise!$B$3:$B$6</c:f>
              <c:numCache>
                <c:formatCode>General</c:formatCode>
                <c:ptCount val="4"/>
                <c:pt idx="0">
                  <c:v>19500</c:v>
                </c:pt>
                <c:pt idx="1">
                  <c:v>25200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0E-45B5-A5C6-02816AC86F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Group-Wise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'[2]Age Group-wise Total Spending'!$B$2</c:f>
              <c:strCache>
                <c:ptCount val="1"/>
                <c:pt idx="0">
                  <c:v>TotalSpent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B0-4A8A-875F-5A663D602C5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B0-4A8A-875F-5A663D602C5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B0-4A8A-875F-5A663D602C5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'[2]Age Group-wise Total Spending'!$A$3:$A$5</c:f>
              <c:strCache>
                <c:ptCount val="3"/>
                <c:pt idx="0">
                  <c:v>26–35</c:v>
                </c:pt>
                <c:pt idx="1">
                  <c:v>36+</c:v>
                </c:pt>
                <c:pt idx="2">
                  <c:v>18–25</c:v>
                </c:pt>
              </c:strCache>
            </c:strRef>
          </c:cat>
          <c:val>
            <c:numRef>
              <c:f>'[2]Age Group-wise Total Spending'!$B$3:$B$5</c:f>
              <c:numCache>
                <c:formatCode>General</c:formatCode>
                <c:ptCount val="3"/>
                <c:pt idx="0">
                  <c:v>21700</c:v>
                </c:pt>
                <c:pt idx="1">
                  <c:v>23000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B0-4A8A-875F-5A663D602C5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Transaction Count with 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[3]Charts!$B$1</c:f>
              <c:strCache>
                <c:ptCount val="1"/>
                <c:pt idx="0">
                  <c:v>TxnCount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[3]Charts!$A$2:$A$6</c:f>
              <c:strCache>
                <c:ptCount val="5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Chennai</c:v>
                </c:pt>
                <c:pt idx="4">
                  <c:v>Pune</c:v>
                </c:pt>
              </c:strCache>
            </c:strRef>
          </c:cat>
          <c:val>
            <c:numRef>
              <c:f>[3]Charts!$B$2:$B$6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0-43FC-8878-938B03AC55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768191"/>
        <c:axId val="93768671"/>
      </c:barChart>
      <c:catAx>
        <c:axId val="9376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X-axis: 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8671"/>
        <c:crosses val="autoZero"/>
        <c:auto val="1"/>
        <c:lblAlgn val="ctr"/>
        <c:lblOffset val="100"/>
        <c:noMultiLvlLbl val="0"/>
      </c:catAx>
      <c:valAx>
        <c:axId val="937686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Y-axis: Transaction Count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1.0583333333333333E-2"/>
              <c:y val="0.187854166666666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376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Spend Category Distribution</a:t>
            </a:r>
          </a:p>
        </c:rich>
      </c:tx>
      <c:layout>
        <c:manualLayout>
          <c:xMode val="edge"/>
          <c:yMode val="edge"/>
          <c:x val="0.17580589330544696"/>
          <c:y val="8.9485458612975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61148210904016"/>
          <c:y val="0.21625030778879492"/>
          <c:w val="0.49366091896740755"/>
          <c:h val="0.66551579691347884"/>
        </c:manualLayout>
      </c:layout>
      <c:doughnutChart>
        <c:varyColors val="1"/>
        <c:ser>
          <c:idx val="0"/>
          <c:order val="0"/>
          <c:tx>
            <c:strRef>
              <c:f>'[4]Spend Category Distribution'!$B$2</c:f>
              <c:strCache>
                <c:ptCount val="1"/>
                <c:pt idx="0">
                  <c:v>CustomersCount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AA-4D65-A8AE-6AE3938655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AA-4D65-A8AE-6AE3938655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AA-4D65-A8AE-6AE3938655D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'[4]Spend Category Distribution'!$A$3:$A$5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'[4]Spend Category Distribution'!$B$3:$B$5</c:f>
              <c:numCache>
                <c:formatCode>General</c:formatCode>
                <c:ptCount val="3"/>
                <c:pt idx="0">
                  <c:v>12</c:v>
                </c:pt>
                <c:pt idx="1">
                  <c:v>25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AA-4D65-A8AE-6AE3938655D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Merchant-wise Total Spend</a:t>
            </a:r>
            <a:endParaRPr lang="en-US"/>
          </a:p>
        </c:rich>
      </c:tx>
      <c:layout>
        <c:manualLayout>
          <c:xMode val="edge"/>
          <c:yMode val="edge"/>
          <c:x val="0.17944038981871843"/>
          <c:y val="2.7549537037037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164245527868024"/>
          <c:y val="0.20006944444444444"/>
          <c:w val="0.73053018372703415"/>
          <c:h val="0.689151356080489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'[5]Bar Chart – Merchant-wise Spend'!$B$2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'[5]Bar Chart – Merchant-wise Spend'!$A$3:$A$7</c:f>
              <c:strCache>
                <c:ptCount val="5"/>
                <c:pt idx="0">
                  <c:v>Amazon</c:v>
                </c:pt>
                <c:pt idx="1">
                  <c:v>Flipkart</c:v>
                </c:pt>
                <c:pt idx="2">
                  <c:v>Big Bazaar</c:v>
                </c:pt>
                <c:pt idx="3">
                  <c:v>Myntra</c:v>
                </c:pt>
                <c:pt idx="4">
                  <c:v>Reliance Mart</c:v>
                </c:pt>
              </c:strCache>
            </c:strRef>
          </c:cat>
          <c:val>
            <c:numRef>
              <c:f>'[5]Bar Chart – Merchant-wise Spend'!$B$3:$B$7</c:f>
              <c:numCache>
                <c:formatCode>General</c:formatCode>
                <c:ptCount val="5"/>
                <c:pt idx="0">
                  <c:v>15000</c:v>
                </c:pt>
                <c:pt idx="1">
                  <c:v>12000</c:v>
                </c:pt>
                <c:pt idx="2">
                  <c:v>8000</c:v>
                </c:pt>
                <c:pt idx="3">
                  <c:v>6000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1-4FA7-8B9E-C85084614A8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8952863"/>
        <c:axId val="890531599"/>
      </c:barChart>
      <c:catAx>
        <c:axId val="78895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31599"/>
        <c:crosses val="autoZero"/>
        <c:auto val="1"/>
        <c:lblAlgn val="ctr"/>
        <c:lblOffset val="100"/>
        <c:noMultiLvlLbl val="0"/>
      </c:catAx>
      <c:valAx>
        <c:axId val="8905315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5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Day-wise Total Spend</a:t>
            </a:r>
            <a:endParaRPr lang="en-US" b="1"/>
          </a:p>
        </c:rich>
      </c:tx>
      <c:layout>
        <c:manualLayout>
          <c:xMode val="edge"/>
          <c:yMode val="edge"/>
          <c:x val="0.3124722222222222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049444444444442E-2"/>
          <c:y val="0.18068842592592593"/>
          <c:w val="0.88961111111111113"/>
          <c:h val="0.49084791666666666"/>
        </c:manualLayout>
      </c:layout>
      <c:lineChart>
        <c:grouping val="standard"/>
        <c:varyColors val="0"/>
        <c:ser>
          <c:idx val="0"/>
          <c:order val="0"/>
          <c:tx>
            <c:strRef>
              <c:f>'[6]Day-wise Total Spend'!$B$2</c:f>
              <c:strCache>
                <c:ptCount val="1"/>
                <c:pt idx="0">
                  <c:v>Total Spend</c:v>
                </c:pt>
              </c:strCache>
            </c:strRef>
          </c:tx>
          <c:spPr>
            <a:ln w="317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'[6]Day-wise Total Spend'!$A$3:$A$9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'[6]Day-wise Total Spend'!$B$3:$B$9</c:f>
              <c:numCache>
                <c:formatCode>General</c:formatCode>
                <c:ptCount val="7"/>
                <c:pt idx="0">
                  <c:v>1500</c:v>
                </c:pt>
                <c:pt idx="1">
                  <c:v>2300</c:v>
                </c:pt>
                <c:pt idx="2">
                  <c:v>1800</c:v>
                </c:pt>
                <c:pt idx="3">
                  <c:v>2500</c:v>
                </c:pt>
                <c:pt idx="4">
                  <c:v>2200</c:v>
                </c:pt>
                <c:pt idx="5">
                  <c:v>3000</c:v>
                </c:pt>
                <c:pt idx="6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8-4C4E-927F-E4A531BE33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8624479"/>
        <c:axId val="358621119"/>
      </c:lineChart>
      <c:catAx>
        <c:axId val="358624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X-axis: Day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21119"/>
        <c:crosses val="autoZero"/>
        <c:auto val="1"/>
        <c:lblAlgn val="ctr"/>
        <c:lblOffset val="100"/>
        <c:noMultiLvlLbl val="0"/>
      </c:catAx>
      <c:valAx>
        <c:axId val="3586211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>
              <a:outerShdw blurRad="50800" dist="50800" dir="5400000" algn="ctr" rotWithShape="0">
                <a:schemeClr val="bg2">
                  <a:lumMod val="90000"/>
                </a:schemeClr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Y-axis: Number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6532808398950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5862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Payment Mode Percentage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'[1]Payment Mode Percentage Share'!$B$2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DD-4398-9466-25C9152ED0A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DD-4398-9466-25C9152ED0A0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DD-4398-9466-25C9152ED0A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'[1]Payment Mode Percentage Share'!$A$3:$A$5</c:f>
              <c:strCache>
                <c:ptCount val="3"/>
                <c:pt idx="0">
                  <c:v>UPI</c:v>
                </c:pt>
                <c:pt idx="1">
                  <c:v>NetBanking</c:v>
                </c:pt>
                <c:pt idx="2">
                  <c:v>POS</c:v>
                </c:pt>
              </c:strCache>
            </c:strRef>
          </c:cat>
          <c:val>
            <c:numRef>
              <c:f>'[1]Payment Mode Percentage Share'!$B$3:$B$5</c:f>
              <c:numCache>
                <c:formatCode>General</c:formatCode>
                <c:ptCount val="3"/>
                <c:pt idx="0">
                  <c:v>29.56</c:v>
                </c:pt>
                <c:pt idx="1">
                  <c:v>55.14</c:v>
                </c:pt>
                <c:pt idx="2">
                  <c:v>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DD-4398-9466-25C9152ED0A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Total Spend</a:t>
            </a:r>
          </a:p>
        </c:rich>
      </c:tx>
      <c:layout>
        <c:manualLayout>
          <c:xMode val="edge"/>
          <c:yMode val="edge"/>
          <c:x val="0.16278428203634451"/>
          <c:y val="4.3956024938987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455749999999999"/>
          <c:y val="0.25855694444444444"/>
          <c:w val="0.41311583333333335"/>
          <c:h val="0.68852638888888884"/>
        </c:manualLayout>
      </c:layout>
      <c:pieChart>
        <c:varyColors val="1"/>
        <c:ser>
          <c:idx val="0"/>
          <c:order val="0"/>
          <c:tx>
            <c:strRef>
              <c:f>'[7]Category-wise Total Spend'!$B$2</c:f>
              <c:strCache>
                <c:ptCount val="1"/>
                <c:pt idx="0">
                  <c:v>TotalSpent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FC-470E-803A-3371A9744D2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FC-470E-803A-3371A9744D28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FC-470E-803A-3371A9744D2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'[7]Category-wise Total Spend'!$A$3:$A$5</c:f>
              <c:strCache>
                <c:ptCount val="3"/>
                <c:pt idx="0">
                  <c:v>Shopping</c:v>
                </c:pt>
                <c:pt idx="1">
                  <c:v>Food</c:v>
                </c:pt>
                <c:pt idx="2">
                  <c:v>Travel</c:v>
                </c:pt>
              </c:strCache>
            </c:strRef>
          </c:cat>
          <c:val>
            <c:numRef>
              <c:f>'[7]Category-wise Total Spend'!$B$3:$B$5</c:f>
              <c:numCache>
                <c:formatCode>General</c:formatCode>
                <c:ptCount val="3"/>
                <c:pt idx="0">
                  <c:v>17000</c:v>
                </c:pt>
                <c:pt idx="1">
                  <c:v>15000</c:v>
                </c:pt>
                <c:pt idx="2">
                  <c:v>13300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FC-470E-803A-3371A9744D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Group-Wise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'[2]Age Group-wise Total Spending'!$B$2</c:f>
              <c:strCache>
                <c:ptCount val="1"/>
                <c:pt idx="0">
                  <c:v>TotalSpent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B0-4A8A-875F-5A663D602C5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B0-4A8A-875F-5A663D602C5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B0-4A8A-875F-5A663D602C5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'[2]Age Group-wise Total Spending'!$A$3:$A$5</c:f>
              <c:strCache>
                <c:ptCount val="3"/>
                <c:pt idx="0">
                  <c:v>26–35</c:v>
                </c:pt>
                <c:pt idx="1">
                  <c:v>36+</c:v>
                </c:pt>
                <c:pt idx="2">
                  <c:v>18–25</c:v>
                </c:pt>
              </c:strCache>
            </c:strRef>
          </c:cat>
          <c:val>
            <c:numRef>
              <c:f>'[2]Age Group-wise Total Spending'!$B$3:$B$5</c:f>
              <c:numCache>
                <c:formatCode>General</c:formatCode>
                <c:ptCount val="3"/>
                <c:pt idx="0">
                  <c:v>21700</c:v>
                </c:pt>
                <c:pt idx="1">
                  <c:v>23000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B0-4A8A-875F-5A663D602C5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Payment Mode Percentage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'[1]Payment Mode Percentage Share'!$B$2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DD-4398-9466-25C9152ED0A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DD-4398-9466-25C9152ED0A0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DD-4398-9466-25C9152ED0A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'[1]Payment Mode Percentage Share'!$A$3:$A$5</c:f>
              <c:strCache>
                <c:ptCount val="3"/>
                <c:pt idx="0">
                  <c:v>UPI</c:v>
                </c:pt>
                <c:pt idx="1">
                  <c:v>NetBanking</c:v>
                </c:pt>
                <c:pt idx="2">
                  <c:v>POS</c:v>
                </c:pt>
              </c:strCache>
            </c:strRef>
          </c:cat>
          <c:val>
            <c:numRef>
              <c:f>'[1]Payment Mode Percentage Share'!$B$3:$B$5</c:f>
              <c:numCache>
                <c:formatCode>General</c:formatCode>
                <c:ptCount val="3"/>
                <c:pt idx="0">
                  <c:v>29.56</c:v>
                </c:pt>
                <c:pt idx="1">
                  <c:v>55.14</c:v>
                </c:pt>
                <c:pt idx="2">
                  <c:v>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DD-4398-9466-25C9152ED0A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Total Spend</a:t>
            </a:r>
          </a:p>
        </c:rich>
      </c:tx>
      <c:layout>
        <c:manualLayout>
          <c:xMode val="edge"/>
          <c:yMode val="edge"/>
          <c:x val="0.16278428203634451"/>
          <c:y val="4.3956024938987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455749999999999"/>
          <c:y val="0.25855694444444444"/>
          <c:w val="0.41311583333333335"/>
          <c:h val="0.68852638888888884"/>
        </c:manualLayout>
      </c:layout>
      <c:pieChart>
        <c:varyColors val="1"/>
        <c:ser>
          <c:idx val="0"/>
          <c:order val="0"/>
          <c:tx>
            <c:strRef>
              <c:f>'[7]Category-wise Total Spend'!$B$2</c:f>
              <c:strCache>
                <c:ptCount val="1"/>
                <c:pt idx="0">
                  <c:v>TotalSpent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FC-470E-803A-3371A9744D2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FC-470E-803A-3371A9744D28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FC-470E-803A-3371A9744D2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'[7]Category-wise Total Spend'!$A$3:$A$5</c:f>
              <c:strCache>
                <c:ptCount val="3"/>
                <c:pt idx="0">
                  <c:v>Shopping</c:v>
                </c:pt>
                <c:pt idx="1">
                  <c:v>Food</c:v>
                </c:pt>
                <c:pt idx="2">
                  <c:v>Travel</c:v>
                </c:pt>
              </c:strCache>
            </c:strRef>
          </c:cat>
          <c:val>
            <c:numRef>
              <c:f>'[7]Category-wise Total Spend'!$B$3:$B$5</c:f>
              <c:numCache>
                <c:formatCode>General</c:formatCode>
                <c:ptCount val="3"/>
                <c:pt idx="0">
                  <c:v>17000</c:v>
                </c:pt>
                <c:pt idx="1">
                  <c:v>15000</c:v>
                </c:pt>
                <c:pt idx="2">
                  <c:v>13300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FC-470E-803A-3371A9744D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42019</xdr:colOff>
      <xdr:row>4</xdr:row>
      <xdr:rowOff>141159</xdr:rowOff>
    </xdr:from>
    <xdr:to>
      <xdr:col>6</xdr:col>
      <xdr:colOff>594019</xdr:colOff>
      <xdr:row>17</xdr:row>
      <xdr:rowOff>103719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0CF514-A03A-413A-AD2E-43F205CEE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508000</xdr:colOff>
      <xdr:row>4</xdr:row>
      <xdr:rowOff>141159</xdr:rowOff>
    </xdr:from>
    <xdr:to>
      <xdr:col>30</xdr:col>
      <xdr:colOff>450400</xdr:colOff>
      <xdr:row>17</xdr:row>
      <xdr:rowOff>103719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61DE53-81DF-4988-8716-D66A19B65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17543</xdr:colOff>
      <xdr:row>22</xdr:row>
      <xdr:rowOff>107169</xdr:rowOff>
    </xdr:from>
    <xdr:to>
      <xdr:col>14</xdr:col>
      <xdr:colOff>569543</xdr:colOff>
      <xdr:row>34</xdr:row>
      <xdr:rowOff>72609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F28798-83ED-4A33-91EC-5896A73ED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66955</xdr:colOff>
      <xdr:row>22</xdr:row>
      <xdr:rowOff>107169</xdr:rowOff>
    </xdr:from>
    <xdr:to>
      <xdr:col>7</xdr:col>
      <xdr:colOff>9355</xdr:colOff>
      <xdr:row>34</xdr:row>
      <xdr:rowOff>72609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7A9AB3-1E4D-4CB1-8594-2F1EC56C4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528319</xdr:colOff>
      <xdr:row>22</xdr:row>
      <xdr:rowOff>107169</xdr:rowOff>
    </xdr:from>
    <xdr:to>
      <xdr:col>30</xdr:col>
      <xdr:colOff>470719</xdr:colOff>
      <xdr:row>34</xdr:row>
      <xdr:rowOff>72609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33492F-A7FA-497E-9D22-2EA13380B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577731</xdr:colOff>
      <xdr:row>22</xdr:row>
      <xdr:rowOff>107169</xdr:rowOff>
    </xdr:from>
    <xdr:to>
      <xdr:col>22</xdr:col>
      <xdr:colOff>520131</xdr:colOff>
      <xdr:row>34</xdr:row>
      <xdr:rowOff>72609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489403-8565-428F-ACD3-30954C850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603746</xdr:colOff>
      <xdr:row>4</xdr:row>
      <xdr:rowOff>141159</xdr:rowOff>
    </xdr:from>
    <xdr:to>
      <xdr:col>14</xdr:col>
      <xdr:colOff>546146</xdr:colOff>
      <xdr:row>17</xdr:row>
      <xdr:rowOff>103719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E2AEA5-6A2F-FA47-F218-8D2BF8C1E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555873</xdr:colOff>
      <xdr:row>4</xdr:row>
      <xdr:rowOff>141159</xdr:rowOff>
    </xdr:from>
    <xdr:to>
      <xdr:col>22</xdr:col>
      <xdr:colOff>498273</xdr:colOff>
      <xdr:row>17</xdr:row>
      <xdr:rowOff>103719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E3EFE90-2F8B-3321-15E6-0E66F478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40640</xdr:colOff>
      <xdr:row>2</xdr:row>
      <xdr:rowOff>0</xdr:rowOff>
    </xdr:from>
    <xdr:to>
      <xdr:col>21</xdr:col>
      <xdr:colOff>573440</xdr:colOff>
      <xdr:row>2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DCB9A7A-76E6-CCEE-D6A0-BE186DBF65E4}"/>
            </a:ext>
          </a:extLst>
        </xdr:cNvPr>
        <xdr:cNvCxnSpPr/>
      </xdr:nvCxnSpPr>
      <xdr:spPr>
        <a:xfrm>
          <a:off x="5527040" y="772160"/>
          <a:ext cx="7848000" cy="0"/>
        </a:xfrm>
        <a:prstGeom prst="line">
          <a:avLst/>
        </a:prstGeom>
        <a:ln w="762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538480</xdr:colOff>
      <xdr:row>4</xdr:row>
      <xdr:rowOff>130999</xdr:rowOff>
    </xdr:from>
    <xdr:to>
      <xdr:col>30</xdr:col>
      <xdr:colOff>480880</xdr:colOff>
      <xdr:row>17</xdr:row>
      <xdr:rowOff>93559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79C1BB0-C950-7136-3DDC-CE00EF816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24626</xdr:colOff>
      <xdr:row>4</xdr:row>
      <xdr:rowOff>130999</xdr:rowOff>
    </xdr:from>
    <xdr:to>
      <xdr:col>14</xdr:col>
      <xdr:colOff>576626</xdr:colOff>
      <xdr:row>17</xdr:row>
      <xdr:rowOff>93559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50166BF-6532-7537-BC05-F323B346A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586353</xdr:colOff>
      <xdr:row>4</xdr:row>
      <xdr:rowOff>130999</xdr:rowOff>
    </xdr:from>
    <xdr:to>
      <xdr:col>22</xdr:col>
      <xdr:colOff>528753</xdr:colOff>
      <xdr:row>17</xdr:row>
      <xdr:rowOff>93559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77BE3CB-BC83-463C-DF46-57004E03E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ac78334c96d912a/Documents/Bank%20Transaction%20Analytics%20Dashboard/Payment%20Mode%20Percentage%20Share.xlsx" TargetMode="External"/><Relationship Id="rId1" Type="http://schemas.openxmlformats.org/officeDocument/2006/relationships/externalLinkPath" Target="Payment%20Mode%20Percentage%20Shar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ac78334c96d912a/Documents/Bank%20Transaction%20Analytics%20Dashboard/Age%20Group-wise%20Total%20Spending.xlsx" TargetMode="External"/><Relationship Id="rId1" Type="http://schemas.openxmlformats.org/officeDocument/2006/relationships/externalLinkPath" Target="Age%20Group-wise%20Total%20Spend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ac78334c96d912a/Documents/Bank%20Transaction%20Analytics%20Dashboard/column%20chart.xlsx" TargetMode="External"/><Relationship Id="rId1" Type="http://schemas.openxmlformats.org/officeDocument/2006/relationships/externalLinkPath" Target="column%20char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ac78334c96d912a/Documents/Bank%20Transaction%20Analytics%20Dashboard/Spend%20Category%20Distribution.xlsx" TargetMode="External"/><Relationship Id="rId1" Type="http://schemas.openxmlformats.org/officeDocument/2006/relationships/externalLinkPath" Target="Spend%20Category%20Distributio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ac78334c96d912a/Documents/Bank%20Transaction%20Analytics%20Dashboard/Bar%20Chart%20&#8211;%20Merchant-wise%20Spend.xlsx" TargetMode="External"/><Relationship Id="rId1" Type="http://schemas.openxmlformats.org/officeDocument/2006/relationships/externalLinkPath" Target="Bar%20Chart%20&#8211;%20Merchant-wise%20Spe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ac78334c96d912a/Documents/Bank%20Transaction%20Analytics%20Dashboard/Day-wise%20Total%20Spend.xlsx" TargetMode="External"/><Relationship Id="rId1" Type="http://schemas.openxmlformats.org/officeDocument/2006/relationships/externalLinkPath" Target="Day-wise%20Total%20Spe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ac78334c96d912a/Documents/Bank%20Transaction%20Analytics%20Dashboard/Category-wise%20Total%20Spend.xlsx" TargetMode="External"/><Relationship Id="rId1" Type="http://schemas.openxmlformats.org/officeDocument/2006/relationships/externalLinkPath" Target="Category-wise%20Total%20Sp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_GenderWise"/>
      <sheetName val="Payment Mode Percentage Share"/>
    </sheetNames>
    <sheetDataSet>
      <sheetData sheetId="0">
        <row r="1">
          <cell r="B1" t="str">
            <v>B</v>
          </cell>
        </row>
        <row r="2">
          <cell r="B2" t="str">
            <v>TotalSpent</v>
          </cell>
        </row>
        <row r="3">
          <cell r="A3" t="str">
            <v>F</v>
          </cell>
          <cell r="B3">
            <v>19500</v>
          </cell>
        </row>
        <row r="4">
          <cell r="A4" t="str">
            <v>M</v>
          </cell>
          <cell r="B4">
            <v>25200</v>
          </cell>
        </row>
      </sheetData>
      <sheetData sheetId="1">
        <row r="2">
          <cell r="B2" t="str">
            <v>Percentage</v>
          </cell>
        </row>
        <row r="3">
          <cell r="A3" t="str">
            <v>UPI</v>
          </cell>
          <cell r="B3">
            <v>29.56</v>
          </cell>
        </row>
        <row r="4">
          <cell r="A4" t="str">
            <v>NetBanking</v>
          </cell>
          <cell r="B4">
            <v>55.14</v>
          </cell>
        </row>
        <row r="5">
          <cell r="A5" t="str">
            <v>POS</v>
          </cell>
          <cell r="B5">
            <v>15.3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 Group-wise Total Spending"/>
    </sheetNames>
    <sheetDataSet>
      <sheetData sheetId="0">
        <row r="2">
          <cell r="B2" t="str">
            <v>TotalSpent</v>
          </cell>
        </row>
        <row r="3">
          <cell r="A3" t="str">
            <v>26–35</v>
          </cell>
          <cell r="B3">
            <v>21700</v>
          </cell>
        </row>
        <row r="4">
          <cell r="A4" t="str">
            <v>36+</v>
          </cell>
          <cell r="B4">
            <v>23000</v>
          </cell>
        </row>
        <row r="5">
          <cell r="A5" t="str">
            <v>18–25</v>
          </cell>
          <cell r="B5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"/>
    </sheetNames>
    <sheetDataSet>
      <sheetData sheetId="0">
        <row r="1">
          <cell r="B1" t="str">
            <v>TxnCount</v>
          </cell>
        </row>
        <row r="2">
          <cell r="A2" t="str">
            <v>Mumbai</v>
          </cell>
          <cell r="B2">
            <v>3</v>
          </cell>
        </row>
        <row r="3">
          <cell r="A3" t="str">
            <v>Delhi</v>
          </cell>
          <cell r="B3">
            <v>2</v>
          </cell>
        </row>
        <row r="4">
          <cell r="A4" t="str">
            <v>Bangalore</v>
          </cell>
          <cell r="B4">
            <v>2</v>
          </cell>
        </row>
        <row r="5">
          <cell r="A5" t="str">
            <v>Chennai</v>
          </cell>
          <cell r="B5">
            <v>2</v>
          </cell>
        </row>
        <row r="6">
          <cell r="A6" t="str">
            <v>Pune</v>
          </cell>
          <cell r="B6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nd Category Distribution"/>
    </sheetNames>
    <sheetDataSet>
      <sheetData sheetId="0">
        <row r="2">
          <cell r="B2" t="str">
            <v>CustomersCount</v>
          </cell>
        </row>
        <row r="3">
          <cell r="A3" t="str">
            <v>High</v>
          </cell>
          <cell r="B3">
            <v>12</v>
          </cell>
        </row>
        <row r="4">
          <cell r="A4" t="str">
            <v>Medium</v>
          </cell>
          <cell r="B4">
            <v>25</v>
          </cell>
        </row>
        <row r="5">
          <cell r="A5" t="str">
            <v>Low</v>
          </cell>
          <cell r="B5">
            <v>40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r Chart – Merchant-wise Spend"/>
    </sheetNames>
    <sheetDataSet>
      <sheetData sheetId="0">
        <row r="2">
          <cell r="B2" t="str">
            <v>Total</v>
          </cell>
        </row>
        <row r="3">
          <cell r="A3" t="str">
            <v>Amazon</v>
          </cell>
          <cell r="B3">
            <v>15000</v>
          </cell>
        </row>
        <row r="4">
          <cell r="A4" t="str">
            <v>Flipkart</v>
          </cell>
          <cell r="B4">
            <v>12000</v>
          </cell>
        </row>
        <row r="5">
          <cell r="A5" t="str">
            <v>Big Bazaar</v>
          </cell>
          <cell r="B5">
            <v>8000</v>
          </cell>
        </row>
        <row r="6">
          <cell r="A6" t="str">
            <v>Myntra</v>
          </cell>
          <cell r="B6">
            <v>6000</v>
          </cell>
        </row>
        <row r="7">
          <cell r="A7" t="str">
            <v>Reliance Mart</v>
          </cell>
          <cell r="B7">
            <v>4000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y-wise Total Spend"/>
    </sheetNames>
    <sheetDataSet>
      <sheetData sheetId="0">
        <row r="2">
          <cell r="B2" t="str">
            <v>Total Spend</v>
          </cell>
        </row>
        <row r="3">
          <cell r="A3" t="str">
            <v>Monday</v>
          </cell>
          <cell r="B3">
            <v>1500</v>
          </cell>
        </row>
        <row r="4">
          <cell r="A4" t="str">
            <v>Tuesday</v>
          </cell>
          <cell r="B4">
            <v>2300</v>
          </cell>
        </row>
        <row r="5">
          <cell r="A5" t="str">
            <v>Wednesday</v>
          </cell>
          <cell r="B5">
            <v>1800</v>
          </cell>
        </row>
        <row r="6">
          <cell r="A6" t="str">
            <v>Thursday</v>
          </cell>
          <cell r="B6">
            <v>2500</v>
          </cell>
        </row>
        <row r="7">
          <cell r="A7" t="str">
            <v>Friday</v>
          </cell>
          <cell r="B7">
            <v>2200</v>
          </cell>
        </row>
        <row r="8">
          <cell r="A8" t="str">
            <v>Saturday</v>
          </cell>
          <cell r="B8">
            <v>3000</v>
          </cell>
        </row>
        <row r="9">
          <cell r="A9" t="str">
            <v>Sunday</v>
          </cell>
          <cell r="B9">
            <v>2000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egory-wise Total Spend"/>
    </sheetNames>
    <sheetDataSet>
      <sheetData sheetId="0">
        <row r="2">
          <cell r="B2" t="str">
            <v>TotalSpent</v>
          </cell>
        </row>
        <row r="3">
          <cell r="A3" t="str">
            <v>Shopping</v>
          </cell>
          <cell r="B3">
            <v>17000</v>
          </cell>
        </row>
        <row r="4">
          <cell r="A4" t="str">
            <v>Food</v>
          </cell>
          <cell r="B4">
            <v>15000</v>
          </cell>
        </row>
        <row r="5">
          <cell r="A5" t="str">
            <v>Travel</v>
          </cell>
          <cell r="B5">
            <v>13300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E21B3-ED37-4376-99B8-73B259B456DD}" name="Table1" displayName="Table1" ref="P38:P39" insertRow="1" totalsRowShown="0">
  <autoFilter ref="P38:P39" xr:uid="{F0EE21B3-ED37-4376-99B8-73B259B456DD}"/>
  <tableColumns count="1">
    <tableColumn id="1" xr3:uid="{A6A2DFCA-0509-4EE8-AB0C-3F03F4E1FE0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6E8E-14A4-4C81-9AB0-4314BD125EEA}">
  <sheetPr>
    <pageSetUpPr fitToPage="1"/>
  </sheetPr>
  <dimension ref="I2:W3"/>
  <sheetViews>
    <sheetView showGridLines="0" showRowColHeaders="0" tabSelected="1" zoomScale="75" zoomScaleNormal="75" workbookViewId="0">
      <selection activeCell="A2" sqref="A2"/>
    </sheetView>
  </sheetViews>
  <sheetFormatPr defaultRowHeight="14.4" x14ac:dyDescent="0.3"/>
  <sheetData>
    <row r="2" spans="9:23" ht="46.2" x14ac:dyDescent="0.85">
      <c r="I2" s="15" t="s">
        <v>53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9:23" ht="46.2" x14ac:dyDescent="0.85"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</sheetData>
  <mergeCells count="2">
    <mergeCell ref="I2:W2"/>
    <mergeCell ref="I3:W3"/>
  </mergeCells>
  <pageMargins left="0.25" right="0.25" top="0.75" bottom="0.75" header="0.3" footer="0.3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6856-4E5B-4ECE-BE31-27A60ED28C78}">
  <dimension ref="A1:Z35"/>
  <sheetViews>
    <sheetView showGridLines="0" zoomScale="65" zoomScaleNormal="65" workbookViewId="0">
      <selection activeCell="U25" sqref="U25"/>
    </sheetView>
  </sheetViews>
  <sheetFormatPr defaultRowHeight="14.4" x14ac:dyDescent="0.3"/>
  <cols>
    <col min="12" max="12" width="8.44140625" bestFit="1" customWidth="1"/>
  </cols>
  <sheetData>
    <row r="1" spans="1:26" ht="15" thickBot="1" x14ac:dyDescent="0.35"/>
    <row r="2" spans="1:26" x14ac:dyDescent="0.3">
      <c r="A2" s="1" t="s">
        <v>0</v>
      </c>
      <c r="B2" s="2" t="s">
        <v>1</v>
      </c>
      <c r="L2" s="11" t="s">
        <v>6</v>
      </c>
      <c r="M2" s="12"/>
      <c r="N2" s="12"/>
      <c r="W2" s="17" t="s">
        <v>12</v>
      </c>
      <c r="X2" s="17"/>
      <c r="Y2" s="17"/>
      <c r="Z2" s="17"/>
    </row>
    <row r="3" spans="1:26" ht="28.8" x14ac:dyDescent="0.3">
      <c r="A3" s="3" t="s">
        <v>2</v>
      </c>
      <c r="B3" s="4" t="s">
        <v>3</v>
      </c>
      <c r="L3" s="13" t="s">
        <v>7</v>
      </c>
      <c r="M3" s="13" t="s">
        <v>8</v>
      </c>
      <c r="W3" s="8" t="s">
        <v>13</v>
      </c>
      <c r="X3" s="8" t="s">
        <v>3</v>
      </c>
    </row>
    <row r="4" spans="1:26" x14ac:dyDescent="0.3">
      <c r="A4" s="5" t="s">
        <v>4</v>
      </c>
      <c r="B4" s="6">
        <v>19500</v>
      </c>
      <c r="L4" s="14" t="s">
        <v>9</v>
      </c>
      <c r="M4" s="14">
        <v>29.56</v>
      </c>
      <c r="W4" s="9" t="s">
        <v>14</v>
      </c>
      <c r="X4" s="9">
        <v>17000</v>
      </c>
    </row>
    <row r="5" spans="1:26" ht="28.8" x14ac:dyDescent="0.3">
      <c r="A5" s="5" t="s">
        <v>5</v>
      </c>
      <c r="B5" s="6">
        <v>25200</v>
      </c>
      <c r="L5" s="14" t="s">
        <v>10</v>
      </c>
      <c r="M5" s="14">
        <v>55.14</v>
      </c>
      <c r="W5" s="9" t="s">
        <v>15</v>
      </c>
      <c r="X5" s="9">
        <v>15000</v>
      </c>
    </row>
    <row r="6" spans="1:26" ht="15" thickBot="1" x14ac:dyDescent="0.35">
      <c r="A6" s="7"/>
      <c r="L6" s="14" t="s">
        <v>11</v>
      </c>
      <c r="M6" s="14">
        <v>15.3</v>
      </c>
      <c r="W6" s="9" t="s">
        <v>16</v>
      </c>
      <c r="X6" s="9">
        <v>13300</v>
      </c>
    </row>
    <row r="14" spans="1:26" ht="28.8" x14ac:dyDescent="0.3">
      <c r="A14" s="18" t="s">
        <v>17</v>
      </c>
      <c r="B14" s="18"/>
      <c r="C14" s="18"/>
      <c r="D14" s="18"/>
      <c r="L14" s="8" t="s">
        <v>30</v>
      </c>
      <c r="M14" s="8" t="s">
        <v>31</v>
      </c>
      <c r="X14" s="10" t="s">
        <v>47</v>
      </c>
      <c r="Y14" s="10"/>
    </row>
    <row r="15" spans="1:26" ht="28.8" x14ac:dyDescent="0.3">
      <c r="A15" s="8" t="s">
        <v>18</v>
      </c>
      <c r="B15" s="8" t="s">
        <v>3</v>
      </c>
      <c r="L15" s="9" t="s">
        <v>32</v>
      </c>
      <c r="M15" s="9">
        <v>3</v>
      </c>
      <c r="X15" s="8" t="s">
        <v>48</v>
      </c>
      <c r="Y15" s="8" t="s">
        <v>49</v>
      </c>
    </row>
    <row r="16" spans="1:26" x14ac:dyDescent="0.3">
      <c r="A16" s="9" t="s">
        <v>19</v>
      </c>
      <c r="B16" s="9">
        <v>21700</v>
      </c>
      <c r="L16" s="9" t="s">
        <v>33</v>
      </c>
      <c r="M16" s="9">
        <v>2</v>
      </c>
      <c r="X16" s="9" t="s">
        <v>50</v>
      </c>
      <c r="Y16" s="9">
        <v>12</v>
      </c>
    </row>
    <row r="17" spans="1:25" ht="28.8" x14ac:dyDescent="0.3">
      <c r="A17" s="9" t="s">
        <v>20</v>
      </c>
      <c r="B17" s="9">
        <v>23000</v>
      </c>
      <c r="L17" s="9" t="s">
        <v>34</v>
      </c>
      <c r="M17" s="9">
        <v>2</v>
      </c>
      <c r="X17" s="9" t="s">
        <v>51</v>
      </c>
      <c r="Y17" s="9">
        <v>25</v>
      </c>
    </row>
    <row r="18" spans="1:25" x14ac:dyDescent="0.3">
      <c r="A18" s="9" t="s">
        <v>21</v>
      </c>
      <c r="B18" s="9">
        <v>0</v>
      </c>
      <c r="L18" s="9" t="s">
        <v>35</v>
      </c>
      <c r="M18" s="9">
        <v>2</v>
      </c>
      <c r="X18" s="9" t="s">
        <v>52</v>
      </c>
      <c r="Y18" s="9">
        <v>40</v>
      </c>
    </row>
    <row r="19" spans="1:25" x14ac:dyDescent="0.3">
      <c r="L19" s="9" t="s">
        <v>36</v>
      </c>
      <c r="M19" s="9">
        <v>1</v>
      </c>
    </row>
    <row r="27" spans="1:25" x14ac:dyDescent="0.3">
      <c r="C27" s="19" t="s">
        <v>22</v>
      </c>
      <c r="D27" s="19"/>
      <c r="E27" s="19"/>
      <c r="F27" s="19"/>
      <c r="G27" s="19"/>
      <c r="Q27" s="20" t="s">
        <v>37</v>
      </c>
      <c r="R27" s="20"/>
      <c r="S27" s="20"/>
    </row>
    <row r="28" spans="1:25" ht="28.8" x14ac:dyDescent="0.3">
      <c r="C28" s="8" t="s">
        <v>23</v>
      </c>
      <c r="D28" s="8" t="s">
        <v>24</v>
      </c>
      <c r="Q28" s="8" t="s">
        <v>38</v>
      </c>
      <c r="R28" s="8" t="s">
        <v>39</v>
      </c>
    </row>
    <row r="29" spans="1:25" x14ac:dyDescent="0.3">
      <c r="C29" s="9" t="s">
        <v>25</v>
      </c>
      <c r="D29" s="9">
        <v>15000</v>
      </c>
      <c r="Q29" s="9" t="s">
        <v>40</v>
      </c>
      <c r="R29" s="9">
        <v>1500</v>
      </c>
    </row>
    <row r="30" spans="1:25" x14ac:dyDescent="0.3">
      <c r="C30" s="9" t="s">
        <v>26</v>
      </c>
      <c r="D30" s="9">
        <v>12000</v>
      </c>
      <c r="Q30" s="9" t="s">
        <v>41</v>
      </c>
      <c r="R30" s="9">
        <v>2300</v>
      </c>
    </row>
    <row r="31" spans="1:25" ht="28.8" x14ac:dyDescent="0.3">
      <c r="C31" s="9" t="s">
        <v>27</v>
      </c>
      <c r="D31" s="9">
        <v>8000</v>
      </c>
      <c r="Q31" s="9" t="s">
        <v>42</v>
      </c>
      <c r="R31" s="9">
        <v>1800</v>
      </c>
    </row>
    <row r="32" spans="1:25" x14ac:dyDescent="0.3">
      <c r="C32" s="9" t="s">
        <v>28</v>
      </c>
      <c r="D32" s="9">
        <v>6000</v>
      </c>
      <c r="Q32" s="9" t="s">
        <v>43</v>
      </c>
      <c r="R32" s="9">
        <v>2500</v>
      </c>
    </row>
    <row r="33" spans="3:18" ht="28.8" x14ac:dyDescent="0.3">
      <c r="C33" s="9" t="s">
        <v>29</v>
      </c>
      <c r="D33" s="9">
        <v>4000</v>
      </c>
      <c r="Q33" s="9" t="s">
        <v>44</v>
      </c>
      <c r="R33" s="9">
        <v>2200</v>
      </c>
    </row>
    <row r="34" spans="3:18" x14ac:dyDescent="0.3">
      <c r="Q34" s="9" t="s">
        <v>45</v>
      </c>
      <c r="R34" s="9">
        <v>3000</v>
      </c>
    </row>
    <row r="35" spans="3:18" x14ac:dyDescent="0.3">
      <c r="Q35" s="9" t="s">
        <v>46</v>
      </c>
      <c r="R35" s="9">
        <v>2000</v>
      </c>
    </row>
  </sheetData>
  <mergeCells count="4">
    <mergeCell ref="W2:Z2"/>
    <mergeCell ref="A14:D14"/>
    <mergeCell ref="C27:G27"/>
    <mergeCell ref="Q27:S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C2C8-EF38-47D1-9AD3-C2EB8C206D46}">
  <dimension ref="A1:P56"/>
  <sheetViews>
    <sheetView zoomScale="91" zoomScaleNormal="91" workbookViewId="0">
      <selection activeCell="K11" sqref="K11"/>
    </sheetView>
  </sheetViews>
  <sheetFormatPr defaultRowHeight="14.4" x14ac:dyDescent="0.3"/>
  <cols>
    <col min="1" max="1" width="15.77734375" customWidth="1"/>
    <col min="2" max="2" width="11.33203125" customWidth="1"/>
    <col min="3" max="3" width="11.77734375" customWidth="1"/>
    <col min="4" max="4" width="17.77734375" customWidth="1"/>
    <col min="5" max="5" width="12.6640625" customWidth="1"/>
    <col min="6" max="6" width="13" customWidth="1"/>
    <col min="7" max="7" width="15.5546875" customWidth="1"/>
    <col min="8" max="8" width="11.33203125" customWidth="1"/>
    <col min="9" max="9" width="16.77734375" customWidth="1"/>
    <col min="16" max="16" width="10.6640625" customWidth="1"/>
  </cols>
  <sheetData>
    <row r="1" spans="1:9" x14ac:dyDescent="0.3">
      <c r="A1" s="8" t="s">
        <v>54</v>
      </c>
      <c r="B1" s="8" t="s">
        <v>2</v>
      </c>
      <c r="C1" s="8" t="s">
        <v>18</v>
      </c>
      <c r="D1" s="8" t="s">
        <v>55</v>
      </c>
      <c r="E1" s="8" t="s">
        <v>13</v>
      </c>
      <c r="F1" s="8" t="s">
        <v>30</v>
      </c>
      <c r="G1" s="8" t="s">
        <v>56</v>
      </c>
      <c r="H1" s="8" t="s">
        <v>57</v>
      </c>
      <c r="I1" s="8" t="s">
        <v>58</v>
      </c>
    </row>
    <row r="2" spans="1:9" x14ac:dyDescent="0.3">
      <c r="A2" s="9">
        <v>1</v>
      </c>
      <c r="B2" s="9" t="s">
        <v>5</v>
      </c>
      <c r="C2" s="9" t="s">
        <v>59</v>
      </c>
      <c r="D2" s="9" t="s">
        <v>9</v>
      </c>
      <c r="E2" s="9" t="s">
        <v>14</v>
      </c>
      <c r="F2" s="9" t="s">
        <v>32</v>
      </c>
      <c r="G2" s="9" t="s">
        <v>25</v>
      </c>
      <c r="H2" s="9" t="s">
        <v>40</v>
      </c>
      <c r="I2" s="9">
        <v>1200</v>
      </c>
    </row>
    <row r="3" spans="1:9" x14ac:dyDescent="0.3">
      <c r="A3" s="9">
        <v>2</v>
      </c>
      <c r="B3" s="9" t="s">
        <v>4</v>
      </c>
      <c r="C3" s="9" t="s">
        <v>60</v>
      </c>
      <c r="D3" s="9" t="s">
        <v>10</v>
      </c>
      <c r="E3" s="9" t="s">
        <v>15</v>
      </c>
      <c r="F3" s="9" t="s">
        <v>33</v>
      </c>
      <c r="G3" s="9" t="s">
        <v>26</v>
      </c>
      <c r="H3" s="9" t="s">
        <v>41</v>
      </c>
      <c r="I3" s="9">
        <v>800</v>
      </c>
    </row>
    <row r="4" spans="1:9" x14ac:dyDescent="0.3">
      <c r="A4" s="9">
        <v>3</v>
      </c>
      <c r="B4" s="9" t="s">
        <v>5</v>
      </c>
      <c r="C4" s="9" t="s">
        <v>20</v>
      </c>
      <c r="D4" s="9" t="s">
        <v>11</v>
      </c>
      <c r="E4" s="9" t="s">
        <v>16</v>
      </c>
      <c r="F4" s="9" t="s">
        <v>34</v>
      </c>
      <c r="G4" s="9" t="s">
        <v>27</v>
      </c>
      <c r="H4" s="9" t="s">
        <v>42</v>
      </c>
      <c r="I4" s="9">
        <v>1500</v>
      </c>
    </row>
    <row r="5" spans="1:9" x14ac:dyDescent="0.3">
      <c r="A5" s="9">
        <v>4</v>
      </c>
      <c r="B5" s="9" t="s">
        <v>4</v>
      </c>
      <c r="C5" s="9" t="s">
        <v>59</v>
      </c>
      <c r="D5" s="9" t="s">
        <v>9</v>
      </c>
      <c r="E5" s="9" t="s">
        <v>14</v>
      </c>
      <c r="F5" s="9" t="s">
        <v>35</v>
      </c>
      <c r="G5" s="9" t="s">
        <v>28</v>
      </c>
      <c r="H5" s="9" t="s">
        <v>43</v>
      </c>
      <c r="I5" s="9">
        <v>600</v>
      </c>
    </row>
    <row r="6" spans="1:9" x14ac:dyDescent="0.3">
      <c r="A6" s="9">
        <v>5</v>
      </c>
      <c r="B6" s="9" t="s">
        <v>5</v>
      </c>
      <c r="C6" s="9" t="s">
        <v>60</v>
      </c>
      <c r="D6" s="9" t="s">
        <v>10</v>
      </c>
      <c r="E6" s="9" t="s">
        <v>15</v>
      </c>
      <c r="F6" s="9" t="s">
        <v>36</v>
      </c>
      <c r="G6" s="9" t="s">
        <v>29</v>
      </c>
      <c r="H6" s="9" t="s">
        <v>44</v>
      </c>
      <c r="I6" s="9">
        <v>1000</v>
      </c>
    </row>
    <row r="7" spans="1:9" x14ac:dyDescent="0.3">
      <c r="A7" s="9">
        <v>6</v>
      </c>
      <c r="B7" s="9" t="s">
        <v>4</v>
      </c>
      <c r="C7" s="9" t="s">
        <v>20</v>
      </c>
      <c r="D7" s="9" t="s">
        <v>11</v>
      </c>
      <c r="E7" s="9" t="s">
        <v>16</v>
      </c>
      <c r="F7" s="9" t="s">
        <v>33</v>
      </c>
      <c r="G7" s="9" t="s">
        <v>25</v>
      </c>
      <c r="H7" s="9" t="s">
        <v>45</v>
      </c>
      <c r="I7" s="9">
        <v>2000</v>
      </c>
    </row>
    <row r="8" spans="1:9" x14ac:dyDescent="0.3">
      <c r="A8" s="9">
        <v>7</v>
      </c>
      <c r="B8" s="9" t="s">
        <v>5</v>
      </c>
      <c r="C8" s="9" t="s">
        <v>59</v>
      </c>
      <c r="D8" s="9" t="s">
        <v>9</v>
      </c>
      <c r="E8" s="9" t="s">
        <v>14</v>
      </c>
      <c r="F8" s="9" t="s">
        <v>32</v>
      </c>
      <c r="G8" s="9" t="s">
        <v>26</v>
      </c>
      <c r="H8" s="9" t="s">
        <v>46</v>
      </c>
      <c r="I8" s="9">
        <v>1700</v>
      </c>
    </row>
    <row r="9" spans="1:9" x14ac:dyDescent="0.3">
      <c r="A9" s="9">
        <v>8</v>
      </c>
      <c r="B9" s="9" t="s">
        <v>4</v>
      </c>
      <c r="C9" s="9" t="s">
        <v>60</v>
      </c>
      <c r="D9" s="9" t="s">
        <v>10</v>
      </c>
      <c r="E9" s="9" t="s">
        <v>15</v>
      </c>
      <c r="F9" s="9" t="s">
        <v>35</v>
      </c>
      <c r="G9" s="9" t="s">
        <v>27</v>
      </c>
      <c r="H9" s="9" t="s">
        <v>40</v>
      </c>
      <c r="I9" s="9">
        <v>900</v>
      </c>
    </row>
    <row r="10" spans="1:9" x14ac:dyDescent="0.3">
      <c r="A10" s="9">
        <v>9</v>
      </c>
      <c r="B10" s="9" t="s">
        <v>5</v>
      </c>
      <c r="C10" s="9" t="s">
        <v>59</v>
      </c>
      <c r="D10" s="9" t="s">
        <v>11</v>
      </c>
      <c r="E10" s="9" t="s">
        <v>16</v>
      </c>
      <c r="F10" s="9" t="s">
        <v>34</v>
      </c>
      <c r="G10" s="9" t="s">
        <v>29</v>
      </c>
      <c r="H10" s="9" t="s">
        <v>41</v>
      </c>
      <c r="I10" s="9">
        <v>2500</v>
      </c>
    </row>
    <row r="11" spans="1:9" x14ac:dyDescent="0.3">
      <c r="A11" s="9">
        <v>10</v>
      </c>
      <c r="B11" s="9" t="s">
        <v>4</v>
      </c>
      <c r="C11" s="9" t="s">
        <v>20</v>
      </c>
      <c r="D11" s="9" t="s">
        <v>9</v>
      </c>
      <c r="E11" s="9" t="s">
        <v>14</v>
      </c>
      <c r="F11" s="9" t="s">
        <v>36</v>
      </c>
      <c r="G11" s="9" t="s">
        <v>28</v>
      </c>
      <c r="H11" s="9" t="s">
        <v>42</v>
      </c>
      <c r="I11" s="9">
        <v>3200</v>
      </c>
    </row>
    <row r="12" spans="1:9" x14ac:dyDescent="0.3">
      <c r="A12" s="9">
        <v>11</v>
      </c>
      <c r="B12" s="9" t="s">
        <v>5</v>
      </c>
      <c r="C12" s="9" t="s">
        <v>61</v>
      </c>
      <c r="D12" s="9" t="s">
        <v>9</v>
      </c>
      <c r="E12" s="9" t="s">
        <v>14</v>
      </c>
      <c r="F12" s="9" t="s">
        <v>32</v>
      </c>
      <c r="G12" s="9" t="s">
        <v>25</v>
      </c>
      <c r="H12" s="9" t="s">
        <v>43</v>
      </c>
      <c r="I12" s="9">
        <v>2580</v>
      </c>
    </row>
    <row r="13" spans="1:9" x14ac:dyDescent="0.3">
      <c r="A13" s="9">
        <v>12</v>
      </c>
      <c r="B13" s="9" t="s">
        <v>4</v>
      </c>
      <c r="C13" s="9" t="s">
        <v>62</v>
      </c>
      <c r="D13" s="9" t="s">
        <v>10</v>
      </c>
      <c r="E13" s="9" t="s">
        <v>15</v>
      </c>
      <c r="F13" s="9" t="s">
        <v>33</v>
      </c>
      <c r="G13" s="9" t="s">
        <v>26</v>
      </c>
      <c r="H13" s="9" t="s">
        <v>44</v>
      </c>
      <c r="I13" s="9">
        <v>1200</v>
      </c>
    </row>
    <row r="14" spans="1:9" x14ac:dyDescent="0.3">
      <c r="A14" s="9">
        <v>13</v>
      </c>
      <c r="B14" s="9" t="s">
        <v>5</v>
      </c>
      <c r="C14" s="9" t="s">
        <v>20</v>
      </c>
      <c r="D14" s="9" t="s">
        <v>11</v>
      </c>
      <c r="E14" s="9" t="s">
        <v>16</v>
      </c>
      <c r="F14" s="9" t="s">
        <v>34</v>
      </c>
      <c r="G14" s="9" t="s">
        <v>27</v>
      </c>
      <c r="H14" s="9" t="s">
        <v>45</v>
      </c>
      <c r="I14" s="9">
        <v>800</v>
      </c>
    </row>
    <row r="15" spans="1:9" x14ac:dyDescent="0.3">
      <c r="A15" s="9">
        <v>14</v>
      </c>
      <c r="B15" s="9" t="s">
        <v>4</v>
      </c>
      <c r="C15" s="9" t="s">
        <v>61</v>
      </c>
      <c r="D15" s="9" t="s">
        <v>9</v>
      </c>
      <c r="E15" s="9" t="s">
        <v>14</v>
      </c>
      <c r="F15" s="9" t="s">
        <v>35</v>
      </c>
      <c r="G15" s="9" t="s">
        <v>28</v>
      </c>
      <c r="H15" s="9" t="s">
        <v>46</v>
      </c>
      <c r="I15" s="9">
        <v>1500</v>
      </c>
    </row>
    <row r="16" spans="1:9" x14ac:dyDescent="0.3">
      <c r="A16" s="9">
        <v>15</v>
      </c>
      <c r="B16" s="9" t="s">
        <v>5</v>
      </c>
      <c r="C16" s="9" t="s">
        <v>62</v>
      </c>
      <c r="D16" s="9" t="s">
        <v>10</v>
      </c>
      <c r="E16" s="9" t="s">
        <v>15</v>
      </c>
      <c r="F16" s="9" t="s">
        <v>36</v>
      </c>
      <c r="G16" s="9" t="s">
        <v>29</v>
      </c>
      <c r="H16" s="9" t="s">
        <v>40</v>
      </c>
      <c r="I16" s="9">
        <v>600</v>
      </c>
    </row>
    <row r="17" spans="1:9" x14ac:dyDescent="0.3">
      <c r="A17" s="9">
        <v>16</v>
      </c>
      <c r="B17" s="9" t="s">
        <v>4</v>
      </c>
      <c r="C17" s="9" t="s">
        <v>20</v>
      </c>
      <c r="D17" s="9" t="s">
        <v>11</v>
      </c>
      <c r="E17" s="9" t="s">
        <v>16</v>
      </c>
      <c r="F17" s="9" t="s">
        <v>33</v>
      </c>
      <c r="G17" s="9" t="s">
        <v>25</v>
      </c>
      <c r="H17" s="9" t="s">
        <v>41</v>
      </c>
      <c r="I17" s="9">
        <v>1000</v>
      </c>
    </row>
    <row r="18" spans="1:9" x14ac:dyDescent="0.3">
      <c r="A18" s="9">
        <v>17</v>
      </c>
      <c r="B18" s="9" t="s">
        <v>5</v>
      </c>
      <c r="C18" s="9" t="s">
        <v>61</v>
      </c>
      <c r="D18" s="9" t="s">
        <v>9</v>
      </c>
      <c r="E18" s="9" t="s">
        <v>14</v>
      </c>
      <c r="F18" s="9" t="s">
        <v>32</v>
      </c>
      <c r="G18" s="9" t="s">
        <v>26</v>
      </c>
      <c r="H18" s="9" t="s">
        <v>42</v>
      </c>
      <c r="I18" s="9">
        <v>2000</v>
      </c>
    </row>
    <row r="19" spans="1:9" x14ac:dyDescent="0.3">
      <c r="A19" s="9">
        <v>18</v>
      </c>
      <c r="B19" s="9" t="s">
        <v>4</v>
      </c>
      <c r="C19" s="9" t="s">
        <v>62</v>
      </c>
      <c r="D19" s="9" t="s">
        <v>10</v>
      </c>
      <c r="E19" s="9" t="s">
        <v>15</v>
      </c>
      <c r="F19" s="9" t="s">
        <v>35</v>
      </c>
      <c r="G19" s="9" t="s">
        <v>27</v>
      </c>
      <c r="H19" s="9" t="s">
        <v>43</v>
      </c>
      <c r="I19" s="9">
        <v>1700</v>
      </c>
    </row>
    <row r="20" spans="1:9" x14ac:dyDescent="0.3">
      <c r="A20" s="9">
        <v>19</v>
      </c>
      <c r="B20" s="9" t="s">
        <v>5</v>
      </c>
      <c r="C20" s="9" t="s">
        <v>61</v>
      </c>
      <c r="D20" s="9" t="s">
        <v>11</v>
      </c>
      <c r="E20" s="9" t="s">
        <v>16</v>
      </c>
      <c r="F20" s="9" t="s">
        <v>34</v>
      </c>
      <c r="G20" s="9" t="s">
        <v>29</v>
      </c>
      <c r="H20" s="9" t="s">
        <v>44</v>
      </c>
      <c r="I20" s="9">
        <v>900</v>
      </c>
    </row>
    <row r="21" spans="1:9" x14ac:dyDescent="0.3">
      <c r="A21" s="9">
        <v>20</v>
      </c>
      <c r="B21" s="9" t="s">
        <v>4</v>
      </c>
      <c r="C21" s="9" t="s">
        <v>20</v>
      </c>
      <c r="D21" s="9" t="s">
        <v>9</v>
      </c>
      <c r="E21" s="9" t="s">
        <v>14</v>
      </c>
      <c r="F21" s="9" t="s">
        <v>36</v>
      </c>
      <c r="G21" s="9" t="s">
        <v>28</v>
      </c>
      <c r="H21" s="9" t="s">
        <v>45</v>
      </c>
      <c r="I21" s="9">
        <v>2500</v>
      </c>
    </row>
    <row r="22" spans="1:9" x14ac:dyDescent="0.3">
      <c r="A22" s="9">
        <v>21</v>
      </c>
      <c r="B22" s="9" t="s">
        <v>5</v>
      </c>
      <c r="C22" s="9" t="s">
        <v>63</v>
      </c>
      <c r="D22" s="9" t="s">
        <v>9</v>
      </c>
      <c r="E22" s="9" t="s">
        <v>14</v>
      </c>
      <c r="F22" s="9" t="s">
        <v>32</v>
      </c>
      <c r="G22" s="9" t="s">
        <v>25</v>
      </c>
      <c r="H22" s="9" t="s">
        <v>46</v>
      </c>
      <c r="I22" s="9">
        <v>3200</v>
      </c>
    </row>
    <row r="23" spans="1:9" x14ac:dyDescent="0.3">
      <c r="A23" s="9">
        <v>22</v>
      </c>
      <c r="B23" s="9" t="s">
        <v>4</v>
      </c>
      <c r="C23" s="9" t="s">
        <v>64</v>
      </c>
      <c r="D23" s="9" t="s">
        <v>10</v>
      </c>
      <c r="E23" s="9" t="s">
        <v>15</v>
      </c>
      <c r="F23" s="9" t="s">
        <v>33</v>
      </c>
      <c r="G23" s="9" t="s">
        <v>26</v>
      </c>
      <c r="H23" s="9" t="s">
        <v>40</v>
      </c>
      <c r="I23" s="9">
        <v>2580</v>
      </c>
    </row>
    <row r="24" spans="1:9" x14ac:dyDescent="0.3">
      <c r="A24" s="9">
        <v>23</v>
      </c>
      <c r="B24" s="9" t="s">
        <v>5</v>
      </c>
      <c r="C24" s="9" t="s">
        <v>20</v>
      </c>
      <c r="D24" s="9" t="s">
        <v>11</v>
      </c>
      <c r="E24" s="9" t="s">
        <v>16</v>
      </c>
      <c r="F24" s="9" t="s">
        <v>34</v>
      </c>
      <c r="G24" s="9" t="s">
        <v>27</v>
      </c>
      <c r="H24" s="9" t="s">
        <v>41</v>
      </c>
      <c r="I24" s="9">
        <v>1200</v>
      </c>
    </row>
    <row r="25" spans="1:9" x14ac:dyDescent="0.3">
      <c r="A25" s="9">
        <v>24</v>
      </c>
      <c r="B25" s="9" t="s">
        <v>4</v>
      </c>
      <c r="C25" s="9" t="s">
        <v>63</v>
      </c>
      <c r="D25" s="9" t="s">
        <v>9</v>
      </c>
      <c r="E25" s="9" t="s">
        <v>14</v>
      </c>
      <c r="F25" s="9" t="s">
        <v>35</v>
      </c>
      <c r="G25" s="9" t="s">
        <v>28</v>
      </c>
      <c r="H25" s="9" t="s">
        <v>42</v>
      </c>
      <c r="I25" s="9">
        <v>800</v>
      </c>
    </row>
    <row r="26" spans="1:9" x14ac:dyDescent="0.3">
      <c r="A26" s="9">
        <v>25</v>
      </c>
      <c r="B26" s="9" t="s">
        <v>5</v>
      </c>
      <c r="C26" s="9" t="s">
        <v>64</v>
      </c>
      <c r="D26" s="9" t="s">
        <v>10</v>
      </c>
      <c r="E26" s="9" t="s">
        <v>15</v>
      </c>
      <c r="F26" s="9" t="s">
        <v>36</v>
      </c>
      <c r="G26" s="9" t="s">
        <v>29</v>
      </c>
      <c r="H26" s="9" t="s">
        <v>43</v>
      </c>
      <c r="I26" s="9">
        <v>1500</v>
      </c>
    </row>
    <row r="27" spans="1:9" x14ac:dyDescent="0.3">
      <c r="A27" s="9">
        <v>26</v>
      </c>
      <c r="B27" s="9" t="s">
        <v>4</v>
      </c>
      <c r="C27" s="9" t="s">
        <v>20</v>
      </c>
      <c r="D27" s="9" t="s">
        <v>11</v>
      </c>
      <c r="E27" s="9" t="s">
        <v>16</v>
      </c>
      <c r="F27" s="9" t="s">
        <v>33</v>
      </c>
      <c r="G27" s="9" t="s">
        <v>25</v>
      </c>
      <c r="H27" s="9" t="s">
        <v>44</v>
      </c>
      <c r="I27" s="9">
        <v>600</v>
      </c>
    </row>
    <row r="28" spans="1:9" x14ac:dyDescent="0.3">
      <c r="A28" s="9">
        <v>27</v>
      </c>
      <c r="B28" s="9" t="s">
        <v>5</v>
      </c>
      <c r="C28" s="9" t="s">
        <v>63</v>
      </c>
      <c r="D28" s="9" t="s">
        <v>9</v>
      </c>
      <c r="E28" s="9" t="s">
        <v>14</v>
      </c>
      <c r="F28" s="9" t="s">
        <v>32</v>
      </c>
      <c r="G28" s="9" t="s">
        <v>26</v>
      </c>
      <c r="H28" s="9" t="s">
        <v>45</v>
      </c>
      <c r="I28" s="9">
        <v>1000</v>
      </c>
    </row>
    <row r="29" spans="1:9" x14ac:dyDescent="0.3">
      <c r="A29" s="9">
        <v>28</v>
      </c>
      <c r="B29" s="9" t="s">
        <v>4</v>
      </c>
      <c r="C29" s="9" t="s">
        <v>64</v>
      </c>
      <c r="D29" s="9" t="s">
        <v>10</v>
      </c>
      <c r="E29" s="9" t="s">
        <v>15</v>
      </c>
      <c r="F29" s="9" t="s">
        <v>35</v>
      </c>
      <c r="G29" s="9" t="s">
        <v>27</v>
      </c>
      <c r="H29" s="9" t="s">
        <v>46</v>
      </c>
      <c r="I29" s="9">
        <v>2000</v>
      </c>
    </row>
    <row r="30" spans="1:9" x14ac:dyDescent="0.3">
      <c r="A30" s="9">
        <v>29</v>
      </c>
      <c r="B30" s="9" t="s">
        <v>5</v>
      </c>
      <c r="C30" s="9" t="s">
        <v>63</v>
      </c>
      <c r="D30" s="9" t="s">
        <v>11</v>
      </c>
      <c r="E30" s="9" t="s">
        <v>16</v>
      </c>
      <c r="F30" s="9" t="s">
        <v>34</v>
      </c>
      <c r="G30" s="9" t="s">
        <v>29</v>
      </c>
      <c r="H30" s="9" t="s">
        <v>40</v>
      </c>
      <c r="I30" s="9">
        <v>1700</v>
      </c>
    </row>
    <row r="31" spans="1:9" x14ac:dyDescent="0.3">
      <c r="A31" s="9">
        <v>30</v>
      </c>
      <c r="B31" s="9" t="s">
        <v>4</v>
      </c>
      <c r="C31" s="9" t="s">
        <v>20</v>
      </c>
      <c r="D31" s="9" t="s">
        <v>9</v>
      </c>
      <c r="E31" s="9" t="s">
        <v>14</v>
      </c>
      <c r="F31" s="9" t="s">
        <v>36</v>
      </c>
      <c r="G31" s="9" t="s">
        <v>28</v>
      </c>
      <c r="H31" s="9" t="s">
        <v>41</v>
      </c>
      <c r="I31" s="9">
        <v>900</v>
      </c>
    </row>
    <row r="32" spans="1:9" x14ac:dyDescent="0.3">
      <c r="A32" s="9">
        <v>31</v>
      </c>
      <c r="B32" s="9" t="s">
        <v>5</v>
      </c>
      <c r="C32" s="9" t="s">
        <v>65</v>
      </c>
      <c r="D32" s="9" t="s">
        <v>9</v>
      </c>
      <c r="E32" s="9" t="s">
        <v>14</v>
      </c>
      <c r="F32" s="9" t="s">
        <v>32</v>
      </c>
      <c r="G32" s="9" t="s">
        <v>25</v>
      </c>
      <c r="H32" s="9" t="s">
        <v>42</v>
      </c>
      <c r="I32" s="9">
        <v>2500</v>
      </c>
    </row>
    <row r="33" spans="1:16" x14ac:dyDescent="0.3">
      <c r="A33" s="9">
        <v>32</v>
      </c>
      <c r="B33" s="9" t="s">
        <v>4</v>
      </c>
      <c r="C33" s="9" t="s">
        <v>66</v>
      </c>
      <c r="D33" s="9" t="s">
        <v>10</v>
      </c>
      <c r="E33" s="9" t="s">
        <v>15</v>
      </c>
      <c r="F33" s="9" t="s">
        <v>33</v>
      </c>
      <c r="G33" s="9" t="s">
        <v>26</v>
      </c>
      <c r="H33" s="9" t="s">
        <v>43</v>
      </c>
      <c r="I33" s="9">
        <v>3200</v>
      </c>
    </row>
    <row r="34" spans="1:16" x14ac:dyDescent="0.3">
      <c r="A34" s="9">
        <v>33</v>
      </c>
      <c r="B34" s="9" t="s">
        <v>5</v>
      </c>
      <c r="C34" s="9" t="s">
        <v>20</v>
      </c>
      <c r="D34" s="9" t="s">
        <v>11</v>
      </c>
      <c r="E34" s="9" t="s">
        <v>16</v>
      </c>
      <c r="F34" s="9" t="s">
        <v>34</v>
      </c>
      <c r="G34" s="9" t="s">
        <v>27</v>
      </c>
      <c r="H34" s="9" t="s">
        <v>44</v>
      </c>
      <c r="I34" s="9">
        <v>2580</v>
      </c>
    </row>
    <row r="35" spans="1:16" x14ac:dyDescent="0.3">
      <c r="A35" s="9">
        <v>34</v>
      </c>
      <c r="B35" s="9" t="s">
        <v>4</v>
      </c>
      <c r="C35" s="9" t="s">
        <v>65</v>
      </c>
      <c r="D35" s="9" t="s">
        <v>9</v>
      </c>
      <c r="E35" s="9" t="s">
        <v>14</v>
      </c>
      <c r="F35" s="9" t="s">
        <v>35</v>
      </c>
      <c r="G35" s="9" t="s">
        <v>28</v>
      </c>
      <c r="H35" s="9" t="s">
        <v>45</v>
      </c>
      <c r="I35" s="9">
        <v>1200</v>
      </c>
    </row>
    <row r="36" spans="1:16" x14ac:dyDescent="0.3">
      <c r="A36" s="9">
        <v>35</v>
      </c>
      <c r="B36" s="9" t="s">
        <v>5</v>
      </c>
      <c r="C36" s="9" t="s">
        <v>66</v>
      </c>
      <c r="D36" s="9" t="s">
        <v>10</v>
      </c>
      <c r="E36" s="9" t="s">
        <v>15</v>
      </c>
      <c r="F36" s="9" t="s">
        <v>36</v>
      </c>
      <c r="G36" s="9" t="s">
        <v>29</v>
      </c>
      <c r="H36" s="9" t="s">
        <v>46</v>
      </c>
      <c r="I36" s="9">
        <v>800</v>
      </c>
    </row>
    <row r="37" spans="1:16" x14ac:dyDescent="0.3">
      <c r="A37" s="9">
        <v>36</v>
      </c>
      <c r="B37" s="9" t="s">
        <v>4</v>
      </c>
      <c r="C37" s="9" t="s">
        <v>20</v>
      </c>
      <c r="D37" s="9" t="s">
        <v>11</v>
      </c>
      <c r="E37" s="9" t="s">
        <v>16</v>
      </c>
      <c r="F37" s="9" t="s">
        <v>33</v>
      </c>
      <c r="G37" s="9" t="s">
        <v>25</v>
      </c>
      <c r="H37" s="9" t="s">
        <v>40</v>
      </c>
      <c r="I37" s="9">
        <v>1500</v>
      </c>
    </row>
    <row r="38" spans="1:16" x14ac:dyDescent="0.3">
      <c r="A38" s="9">
        <v>37</v>
      </c>
      <c r="B38" s="9" t="s">
        <v>5</v>
      </c>
      <c r="C38" s="9" t="s">
        <v>65</v>
      </c>
      <c r="D38" s="9" t="s">
        <v>9</v>
      </c>
      <c r="E38" s="9" t="s">
        <v>14</v>
      </c>
      <c r="F38" s="9" t="s">
        <v>32</v>
      </c>
      <c r="G38" s="9" t="s">
        <v>26</v>
      </c>
      <c r="H38" s="9" t="s">
        <v>41</v>
      </c>
      <c r="I38" s="9">
        <v>600</v>
      </c>
      <c r="P38" t="s">
        <v>70</v>
      </c>
    </row>
    <row r="39" spans="1:16" x14ac:dyDescent="0.3">
      <c r="A39" s="9">
        <v>38</v>
      </c>
      <c r="B39" s="9" t="s">
        <v>4</v>
      </c>
      <c r="C39" s="9" t="s">
        <v>66</v>
      </c>
      <c r="D39" s="9" t="s">
        <v>10</v>
      </c>
      <c r="E39" s="9" t="s">
        <v>15</v>
      </c>
      <c r="F39" s="9" t="s">
        <v>35</v>
      </c>
      <c r="G39" s="9" t="s">
        <v>27</v>
      </c>
      <c r="H39" s="9" t="s">
        <v>42</v>
      </c>
      <c r="I39" s="9">
        <v>1000</v>
      </c>
    </row>
    <row r="40" spans="1:16" x14ac:dyDescent="0.3">
      <c r="A40" s="9">
        <v>39</v>
      </c>
      <c r="B40" s="9" t="s">
        <v>5</v>
      </c>
      <c r="C40" s="9" t="s">
        <v>65</v>
      </c>
      <c r="D40" s="9" t="s">
        <v>11</v>
      </c>
      <c r="E40" s="9" t="s">
        <v>16</v>
      </c>
      <c r="F40" s="9" t="s">
        <v>34</v>
      </c>
      <c r="G40" s="9" t="s">
        <v>29</v>
      </c>
      <c r="H40" s="9" t="s">
        <v>43</v>
      </c>
      <c r="I40" s="9">
        <v>2000</v>
      </c>
    </row>
    <row r="41" spans="1:16" x14ac:dyDescent="0.3">
      <c r="A41" s="9">
        <v>40</v>
      </c>
      <c r="B41" s="9" t="s">
        <v>4</v>
      </c>
      <c r="C41" s="9" t="s">
        <v>20</v>
      </c>
      <c r="D41" s="9" t="s">
        <v>9</v>
      </c>
      <c r="E41" s="9" t="s">
        <v>14</v>
      </c>
      <c r="F41" s="9" t="s">
        <v>36</v>
      </c>
      <c r="G41" s="9" t="s">
        <v>28</v>
      </c>
      <c r="H41" s="9" t="s">
        <v>44</v>
      </c>
      <c r="I41" s="9">
        <v>1700</v>
      </c>
    </row>
    <row r="42" spans="1:16" x14ac:dyDescent="0.3">
      <c r="A42" s="9">
        <v>41</v>
      </c>
      <c r="B42" s="9" t="s">
        <v>5</v>
      </c>
      <c r="C42" s="9" t="s">
        <v>67</v>
      </c>
      <c r="D42" s="9" t="s">
        <v>9</v>
      </c>
      <c r="E42" s="9" t="s">
        <v>14</v>
      </c>
      <c r="F42" s="9" t="s">
        <v>32</v>
      </c>
      <c r="G42" s="9" t="s">
        <v>25</v>
      </c>
      <c r="H42" s="9" t="s">
        <v>45</v>
      </c>
      <c r="I42" s="9">
        <v>900</v>
      </c>
    </row>
    <row r="43" spans="1:16" x14ac:dyDescent="0.3">
      <c r="A43" s="9">
        <v>42</v>
      </c>
      <c r="B43" s="9" t="s">
        <v>4</v>
      </c>
      <c r="C43" s="9" t="s">
        <v>68</v>
      </c>
      <c r="D43" s="9" t="s">
        <v>10</v>
      </c>
      <c r="E43" s="9" t="s">
        <v>15</v>
      </c>
      <c r="F43" s="9" t="s">
        <v>33</v>
      </c>
      <c r="G43" s="9" t="s">
        <v>26</v>
      </c>
      <c r="H43" s="9" t="s">
        <v>46</v>
      </c>
      <c r="I43" s="9">
        <v>2500</v>
      </c>
    </row>
    <row r="44" spans="1:16" x14ac:dyDescent="0.3">
      <c r="A44" s="9">
        <v>43</v>
      </c>
      <c r="B44" s="9" t="s">
        <v>5</v>
      </c>
      <c r="C44" s="9" t="s">
        <v>20</v>
      </c>
      <c r="D44" s="9" t="s">
        <v>11</v>
      </c>
      <c r="E44" s="9" t="s">
        <v>16</v>
      </c>
      <c r="F44" s="9" t="s">
        <v>34</v>
      </c>
      <c r="G44" s="9" t="s">
        <v>27</v>
      </c>
      <c r="H44" s="9" t="s">
        <v>40</v>
      </c>
      <c r="I44" s="9">
        <v>3200</v>
      </c>
    </row>
    <row r="45" spans="1:16" x14ac:dyDescent="0.3">
      <c r="A45" s="9">
        <v>44</v>
      </c>
      <c r="B45" s="9" t="s">
        <v>4</v>
      </c>
      <c r="C45" s="9" t="s">
        <v>67</v>
      </c>
      <c r="D45" s="9" t="s">
        <v>9</v>
      </c>
      <c r="E45" s="9" t="s">
        <v>14</v>
      </c>
      <c r="F45" s="9" t="s">
        <v>35</v>
      </c>
      <c r="G45" s="9" t="s">
        <v>28</v>
      </c>
      <c r="H45" s="9" t="s">
        <v>41</v>
      </c>
      <c r="I45" s="9">
        <v>2580</v>
      </c>
    </row>
    <row r="46" spans="1:16" x14ac:dyDescent="0.3">
      <c r="A46" s="9">
        <v>45</v>
      </c>
      <c r="B46" s="9" t="s">
        <v>5</v>
      </c>
      <c r="C46" s="9" t="s">
        <v>68</v>
      </c>
      <c r="D46" s="9" t="s">
        <v>10</v>
      </c>
      <c r="E46" s="9" t="s">
        <v>15</v>
      </c>
      <c r="F46" s="9" t="s">
        <v>36</v>
      </c>
      <c r="G46" s="9" t="s">
        <v>29</v>
      </c>
      <c r="H46" s="9" t="s">
        <v>42</v>
      </c>
      <c r="I46" s="9">
        <v>1200</v>
      </c>
    </row>
    <row r="47" spans="1:16" x14ac:dyDescent="0.3">
      <c r="A47" s="9">
        <v>46</v>
      </c>
      <c r="B47" s="9" t="s">
        <v>4</v>
      </c>
      <c r="C47" s="9" t="s">
        <v>20</v>
      </c>
      <c r="D47" s="9" t="s">
        <v>11</v>
      </c>
      <c r="E47" s="9" t="s">
        <v>16</v>
      </c>
      <c r="F47" s="9" t="s">
        <v>33</v>
      </c>
      <c r="G47" s="9" t="s">
        <v>25</v>
      </c>
      <c r="H47" s="9" t="s">
        <v>43</v>
      </c>
      <c r="I47" s="9">
        <v>800</v>
      </c>
    </row>
    <row r="48" spans="1:16" x14ac:dyDescent="0.3">
      <c r="A48" s="9">
        <v>47</v>
      </c>
      <c r="B48" s="9" t="s">
        <v>5</v>
      </c>
      <c r="C48" s="9" t="s">
        <v>67</v>
      </c>
      <c r="D48" s="9" t="s">
        <v>9</v>
      </c>
      <c r="E48" s="9" t="s">
        <v>14</v>
      </c>
      <c r="F48" s="9" t="s">
        <v>32</v>
      </c>
      <c r="G48" s="9" t="s">
        <v>26</v>
      </c>
      <c r="H48" s="9" t="s">
        <v>44</v>
      </c>
      <c r="I48" s="9">
        <v>1500</v>
      </c>
    </row>
    <row r="49" spans="1:9" x14ac:dyDescent="0.3">
      <c r="A49" s="9">
        <v>48</v>
      </c>
      <c r="B49" s="9" t="s">
        <v>4</v>
      </c>
      <c r="C49" s="9" t="s">
        <v>68</v>
      </c>
      <c r="D49" s="9" t="s">
        <v>10</v>
      </c>
      <c r="E49" s="9" t="s">
        <v>15</v>
      </c>
      <c r="F49" s="9" t="s">
        <v>35</v>
      </c>
      <c r="G49" s="9" t="s">
        <v>27</v>
      </c>
      <c r="H49" s="9" t="s">
        <v>45</v>
      </c>
      <c r="I49" s="9">
        <v>600</v>
      </c>
    </row>
    <row r="50" spans="1:9" x14ac:dyDescent="0.3">
      <c r="A50" s="9">
        <v>49</v>
      </c>
      <c r="B50" s="9" t="s">
        <v>5</v>
      </c>
      <c r="C50" s="9" t="s">
        <v>67</v>
      </c>
      <c r="D50" s="9" t="s">
        <v>11</v>
      </c>
      <c r="E50" s="9" t="s">
        <v>16</v>
      </c>
      <c r="F50" s="9" t="s">
        <v>34</v>
      </c>
      <c r="G50" s="9" t="s">
        <v>29</v>
      </c>
      <c r="H50" s="9" t="s">
        <v>46</v>
      </c>
      <c r="I50" s="9">
        <v>1000</v>
      </c>
    </row>
    <row r="51" spans="1:9" x14ac:dyDescent="0.3">
      <c r="A51" s="9">
        <v>50</v>
      </c>
      <c r="B51" s="9" t="s">
        <v>4</v>
      </c>
      <c r="C51" s="9" t="s">
        <v>20</v>
      </c>
      <c r="D51" s="9" t="s">
        <v>9</v>
      </c>
      <c r="E51" s="9" t="s">
        <v>14</v>
      </c>
      <c r="F51" s="9" t="s">
        <v>36</v>
      </c>
      <c r="G51" s="9" t="s">
        <v>28</v>
      </c>
      <c r="H51" s="9" t="s">
        <v>40</v>
      </c>
      <c r="I51" s="9">
        <v>2000</v>
      </c>
    </row>
    <row r="52" spans="1:9" x14ac:dyDescent="0.3">
      <c r="A52" s="9">
        <v>51</v>
      </c>
      <c r="B52" s="9" t="s">
        <v>5</v>
      </c>
      <c r="C52" s="9" t="s">
        <v>69</v>
      </c>
      <c r="D52" s="9" t="s">
        <v>9</v>
      </c>
      <c r="E52" s="9" t="s">
        <v>14</v>
      </c>
      <c r="F52" s="9" t="s">
        <v>32</v>
      </c>
      <c r="G52" s="9" t="s">
        <v>25</v>
      </c>
      <c r="H52" s="9" t="s">
        <v>41</v>
      </c>
      <c r="I52" s="9">
        <v>1700</v>
      </c>
    </row>
    <row r="53" spans="1:9" x14ac:dyDescent="0.3">
      <c r="I53" s="9"/>
    </row>
    <row r="54" spans="1:9" x14ac:dyDescent="0.3">
      <c r="I54" s="9"/>
    </row>
    <row r="55" spans="1:9" x14ac:dyDescent="0.3">
      <c r="I55" s="9"/>
    </row>
    <row r="56" spans="1:9" x14ac:dyDescent="0.3">
      <c r="I56" s="9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Final_Dashboard</vt:lpstr>
      <vt:lpstr>Sheet2</vt:lpstr>
      <vt:lpstr>Transactions</vt:lpstr>
      <vt:lpstr>Final_Dashboard!Print_Area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2025-08-17T18:38:12Z</cp:lastPrinted>
  <dcterms:created xsi:type="dcterms:W3CDTF">2025-08-13T12:07:54Z</dcterms:created>
  <dcterms:modified xsi:type="dcterms:W3CDTF">2025-08-17T18:39:36Z</dcterms:modified>
</cp:coreProperties>
</file>